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umer Checkpoi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<sst xmlns="http://schemas.openxmlformats.org/spreadsheetml/2006/main" count="70" uniqueCount="70">
  <si>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Bank of America Consumer Checkpoint</t>
  </si>
  <si>
    <t xml:space="preserve">Total Credit &amp; Debit Card Spending Growth Per Household</t>
  </si>
  <si>
    <t xml:space="preserve">Source: Bank of America Institute internal data</t>
  </si>
  <si>
    <t xml:space="preserve">Month</t>
  </si>
  <si>
    <t xml:space="preserve">Date</t>
  </si>
  <si>
    <t xml:space="preserve">MoM % (SA)</t>
  </si>
  <si>
    <t xml:space="preserve">YoY % (non-SA)</t>
  </si>
  <si>
    <t xml:space="preserve">Oct-23</t>
  </si>
  <si>
    <t xml:space="preserve">2023-10-01</t>
  </si>
  <si>
    <t xml:space="preserve">Nov-23</t>
  </si>
  <si>
    <t xml:space="preserve">2023-11-01</t>
  </si>
  <si>
    <t xml:space="preserve">Dec-23</t>
  </si>
  <si>
    <t xml:space="preserve">2023-12-01</t>
  </si>
  <si>
    <t xml:space="preserve">Jan-24</t>
  </si>
  <si>
    <t xml:space="preserve">2024-01-01</t>
  </si>
  <si>
    <t xml:space="preserve">Feb-24</t>
  </si>
  <si>
    <t xml:space="preserve">2024-02-01</t>
  </si>
  <si>
    <t xml:space="preserve">Mar-24</t>
  </si>
  <si>
    <t xml:space="preserve">2024-03-01</t>
  </si>
  <si>
    <t xml:space="preserve">Apr-24</t>
  </si>
  <si>
    <t xml:space="preserve">2024-04-01</t>
  </si>
  <si>
    <t xml:space="preserve">May-24</t>
  </si>
  <si>
    <t xml:space="preserve">2024-05-01</t>
  </si>
  <si>
    <t xml:space="preserve">Jun-24</t>
  </si>
  <si>
    <t xml:space="preserve">2024-06-01</t>
  </si>
  <si>
    <t xml:space="preserve">Jul-24</t>
  </si>
  <si>
    <t xml:space="preserve">2024-07-01</t>
  </si>
  <si>
    <t xml:space="preserve">Aug-24</t>
  </si>
  <si>
    <t xml:space="preserve">2024-08-01</t>
  </si>
  <si>
    <t xml:space="preserve">Sep-24</t>
  </si>
  <si>
    <t xml:space="preserve">2024-09-01</t>
  </si>
  <si>
    <t xml:space="preserve">Oct-24</t>
  </si>
  <si>
    <t xml:space="preserve">2024-10-01</t>
  </si>
  <si>
    <t xml:space="preserve">Nov-24</t>
  </si>
  <si>
    <t xml:space="preserve">2024-11-01</t>
  </si>
  <si>
    <t xml:space="preserve">Dec-24</t>
  </si>
  <si>
    <t xml:space="preserve">2024-12-01</t>
  </si>
  <si>
    <t xml:space="preserve">Jan-25</t>
  </si>
  <si>
    <t xml:space="preserve">2025-01-01</t>
  </si>
  <si>
    <t xml:space="preserve">Feb-25</t>
  </si>
  <si>
    <t xml:space="preserve">2025-02-01</t>
  </si>
  <si>
    <t xml:space="preserve">Mar-25</t>
  </si>
  <si>
    <t xml:space="preserve">2025-03-01</t>
  </si>
  <si>
    <t xml:space="preserve">Apr-25</t>
  </si>
  <si>
    <t xml:space="preserve">2025-04-01</t>
  </si>
  <si>
    <t xml:space="preserve">May-25</t>
  </si>
  <si>
    <t xml:space="preserve">2025-05-01</t>
  </si>
  <si>
    <t xml:space="preserve">Jun-25</t>
  </si>
  <si>
    <t xml:space="preserve">2025-06-01</t>
  </si>
  <si>
    <t xml:space="preserve">Jul-25</t>
  </si>
  <si>
    <t xml:space="preserve">2025-07-01</t>
  </si>
  <si>
    <t xml:space="preserve">Aug-25</t>
  </si>
  <si>
    <t xml:space="preserve">2025-08-01</t>
  </si>
  <si>
    <t xml:space="preserve">Sep-25</t>
  </si>
  <si>
    <t xml:space="preserve">2025-09-01</t>
  </si>
  <si>
    <t xml:space="preserve">Oct-25</t>
  </si>
  <si>
    <t xml:space="preserve">2025-10-01</t>
  </si>
  <si>
    <t xml:space="preserve">Nov-25</t>
  </si>
  <si>
    <t xml:space="preserve">2025-11-01</t>
  </si>
  <si>
    <t xml:space="preserve">Dec-25</t>
  </si>
  <si>
    <t xml:space="preserve">2025-12-01</t>
  </si>
  <si>
    <t xml:space="preserve">Jan-26</t>
  </si>
  <si>
    <t xml:space="preserve">2026-01-01</t>
  </si>
  <si>
    <t xml:space="preserve">Summary Statistics</t>
  </si>
  <si>
    <t xml:space="preserve">Average</t>
  </si>
  <si>
    <t xml:space="preserve">Max</t>
  </si>
  <si>
    <t xml:space="preserve">Min</t>
  </si>
  <si>
    <t xml:space="preserve">Notes:</t>
  </si>
  <si>
    <t xml:space="preserve">Values are approximate visual estimates from BofA Institute Consumer Checkpoint chart (Exhibit 1).</t>
  </si>
  <si>
    <t xml:space="preserve">MoM = Month-over-Month (Seasonally Adjusted). YoY = Year-over-Year (Non-Seasonally Adjusted).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</si>
</sst>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-yy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7FB"/>
        <bgColor rgb="FFF9F9F9"/>
      </patternFill>
    </fill>
    <fill>
      <patternFill patternType="solid">
        <fgColor rgb="FFE2EFDA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F2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BofA Consumer Checkpoint: Credit &amp; Debit Spending Growth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'Consumer Checkpoint'!C5</c:f>
              <c:strCache>
                <c:ptCount val="1"/>
                <c:pt idx="0">
                  <c:v>MoM % (SA)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'Consumer Checkpoint'!$A$6:$A$33</c:f>
              <c:strCache>
                <c:ptCount val="28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  <c:pt idx="13">
                  <c:v>Nov-24</c:v>
                </c:pt>
                <c:pt idx="14">
                  <c:v>Dec-24</c:v>
                </c:pt>
                <c:pt idx="15">
                  <c:v>Jan-25</c:v>
                </c:pt>
                <c:pt idx="16">
                  <c:v>Feb-25</c:v>
                </c:pt>
                <c:pt idx="17">
                  <c:v>Mar-25</c:v>
                </c:pt>
                <c:pt idx="18">
                  <c:v>Apr-25</c:v>
                </c:pt>
                <c:pt idx="19">
                  <c:v>May-25</c:v>
                </c:pt>
                <c:pt idx="20">
                  <c:v>Jun-25</c:v>
                </c:pt>
                <c:pt idx="21">
                  <c:v>Jul-25</c:v>
                </c:pt>
                <c:pt idx="22">
                  <c:v>Aug-25</c:v>
                </c:pt>
                <c:pt idx="23">
                  <c:v>Sep-25</c:v>
                </c:pt>
                <c:pt idx="24">
                  <c:v>Oct-25</c:v>
                </c:pt>
                <c:pt idx="25">
                  <c:v>Nov-25</c:v>
                </c:pt>
                <c:pt idx="26">
                  <c:v>Dec-25</c:v>
                </c:pt>
                <c:pt idx="27">
                  <c:v>Jan-26</c:v>
                </c:pt>
              </c:strCache>
            </c:strRef>
          </c:cat>
          <c:val>
            <c:numRef>
              <c:f>'Consumer Checkpoint'!$C$6:$C$33</c:f>
              <c:numCache>
                <c:formatCode>0.0%</c:formatCode>
                <c:ptCount val="28"/>
                <c:pt idx="0">
                  <c:v>0.005</c:v>
                </c:pt>
                <c:pt idx="1">
                  <c:v>0.002</c:v>
                </c:pt>
                <c:pt idx="2">
                  <c:v>0.005</c:v>
                </c:pt>
                <c:pt idx="3">
                  <c:v>0.005</c:v>
                </c:pt>
                <c:pt idx="4">
                  <c:v>0.003</c:v>
                </c:pt>
                <c:pt idx="5">
                  <c:v>0.02</c:v>
                </c:pt>
                <c:pt idx="6">
                  <c:v>-0.005</c:v>
                </c:pt>
                <c:pt idx="7">
                  <c:v>0</c:v>
                </c:pt>
                <c:pt idx="8">
                  <c:v>-0.005</c:v>
                </c:pt>
                <c:pt idx="9">
                  <c:v>0.003</c:v>
                </c:pt>
                <c:pt idx="10">
                  <c:v>-0.002</c:v>
                </c:pt>
                <c:pt idx="11">
                  <c:v>-0.005</c:v>
                </c:pt>
                <c:pt idx="12">
                  <c:v>0</c:v>
                </c:pt>
                <c:pt idx="13">
                  <c:v>-0.002</c:v>
                </c:pt>
                <c:pt idx="14">
                  <c:v>0.007</c:v>
                </c:pt>
                <c:pt idx="15">
                  <c:v>-0.015</c:v>
                </c:pt>
                <c:pt idx="16">
                  <c:v>0.005</c:v>
                </c:pt>
                <c:pt idx="17">
                  <c:v>0.002</c:v>
                </c:pt>
                <c:pt idx="18">
                  <c:v>0</c:v>
                </c:pt>
                <c:pt idx="19">
                  <c:v>0</c:v>
                </c:pt>
                <c:pt idx="20">
                  <c:v>0.003</c:v>
                </c:pt>
                <c:pt idx="21">
                  <c:v>0.004</c:v>
                </c:pt>
                <c:pt idx="22">
                  <c:v>0.004</c:v>
                </c:pt>
                <c:pt idx="23">
                  <c:v>0.003</c:v>
                </c:pt>
                <c:pt idx="24">
                  <c:v>0.003</c:v>
                </c:pt>
                <c:pt idx="25">
                  <c:v>0</c:v>
                </c:pt>
                <c:pt idx="26">
                  <c:v>0.003</c:v>
                </c:pt>
                <c:pt idx="27">
                  <c:v>0.005</c:v>
                </c:pt>
              </c:numCache>
            </c:numRef>
          </c:val>
        </c:ser>
        <c:gapWidth val="150"/>
        <c:overlap val="0"/>
        <c:axId val="9129481"/>
        <c:axId val="4502796"/>
      </c:barChart>
      <c:lineChart>
        <c:grouping val="standard"/>
        <c:varyColors val="0"/>
        <c:ser>
          <c:idx val="1"/>
          <c:order val="1"/>
          <c:tx>
            <c:strRef>
              <c:f>'Consumer Checkpoint'!D5</c:f>
              <c:strCache>
                <c:ptCount val="1"/>
                <c:pt idx="0">
                  <c:v>YoY % (non-SA)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'Consumer Checkpoint'!$A$6:$A$33</c:f>
              <c:strCache>
                <c:ptCount val="28"/>
                <c:pt idx="0">
                  <c:v>Oct-23</c:v>
                </c:pt>
                <c:pt idx="1">
                  <c:v>Nov-23</c:v>
                </c:pt>
                <c:pt idx="2">
                  <c:v>Dec-23</c:v>
                </c:pt>
                <c:pt idx="3">
                  <c:v>Jan-24</c:v>
                </c:pt>
                <c:pt idx="4">
                  <c:v>Feb-24</c:v>
                </c:pt>
                <c:pt idx="5">
                  <c:v>Mar-24</c:v>
                </c:pt>
                <c:pt idx="6">
                  <c:v>Apr-24</c:v>
                </c:pt>
                <c:pt idx="7">
                  <c:v>May-24</c:v>
                </c:pt>
                <c:pt idx="8">
                  <c:v>Jun-24</c:v>
                </c:pt>
                <c:pt idx="9">
                  <c:v>Jul-24</c:v>
                </c:pt>
                <c:pt idx="10">
                  <c:v>Aug-24</c:v>
                </c:pt>
                <c:pt idx="11">
                  <c:v>Sep-24</c:v>
                </c:pt>
                <c:pt idx="12">
                  <c:v>Oct-24</c:v>
                </c:pt>
                <c:pt idx="13">
                  <c:v>Nov-24</c:v>
                </c:pt>
                <c:pt idx="14">
                  <c:v>Dec-24</c:v>
                </c:pt>
                <c:pt idx="15">
                  <c:v>Jan-25</c:v>
                </c:pt>
                <c:pt idx="16">
                  <c:v>Feb-25</c:v>
                </c:pt>
                <c:pt idx="17">
                  <c:v>Mar-25</c:v>
                </c:pt>
                <c:pt idx="18">
                  <c:v>Apr-25</c:v>
                </c:pt>
                <c:pt idx="19">
                  <c:v>May-25</c:v>
                </c:pt>
                <c:pt idx="20">
                  <c:v>Jun-25</c:v>
                </c:pt>
                <c:pt idx="21">
                  <c:v>Jul-25</c:v>
                </c:pt>
                <c:pt idx="22">
                  <c:v>Aug-25</c:v>
                </c:pt>
                <c:pt idx="23">
                  <c:v>Sep-25</c:v>
                </c:pt>
                <c:pt idx="24">
                  <c:v>Oct-25</c:v>
                </c:pt>
                <c:pt idx="25">
                  <c:v>Nov-25</c:v>
                </c:pt>
                <c:pt idx="26">
                  <c:v>Dec-25</c:v>
                </c:pt>
                <c:pt idx="27">
                  <c:v>Jan-26</c:v>
                </c:pt>
              </c:strCache>
            </c:strRef>
          </c:cat>
          <c:val>
            <c:numRef>
              <c:f>'Consumer Checkpoint'!$D$6:$D$33</c:f>
              <c:numCache>
                <c:formatCode>0.0%</c:formatCode>
                <c:ptCount val="28"/>
                <c:pt idx="0">
                  <c:v>0.02</c:v>
                </c:pt>
                <c:pt idx="1">
                  <c:v>0.018</c:v>
                </c:pt>
                <c:pt idx="2">
                  <c:v>0.022</c:v>
                </c:pt>
                <c:pt idx="3">
                  <c:v>0.02</c:v>
                </c:pt>
                <c:pt idx="4">
                  <c:v>0.025</c:v>
                </c:pt>
                <c:pt idx="5">
                  <c:v>0.015</c:v>
                </c:pt>
                <c:pt idx="6">
                  <c:v>0.008</c:v>
                </c:pt>
                <c:pt idx="7">
                  <c:v>0.003</c:v>
                </c:pt>
                <c:pt idx="8">
                  <c:v>-0.003</c:v>
                </c:pt>
                <c:pt idx="9">
                  <c:v>0</c:v>
                </c:pt>
                <c:pt idx="10">
                  <c:v>-0.005</c:v>
                </c:pt>
                <c:pt idx="11">
                  <c:v>-0.01</c:v>
                </c:pt>
                <c:pt idx="12">
                  <c:v>-0.003</c:v>
                </c:pt>
                <c:pt idx="13">
                  <c:v>0.006</c:v>
                </c:pt>
                <c:pt idx="14">
                  <c:v>0.022</c:v>
                </c:pt>
                <c:pt idx="15">
                  <c:v>-0.025</c:v>
                </c:pt>
                <c:pt idx="16">
                  <c:v>-0.01</c:v>
                </c:pt>
                <c:pt idx="17">
                  <c:v>0.011</c:v>
                </c:pt>
                <c:pt idx="18">
                  <c:v>0.01</c:v>
                </c:pt>
                <c:pt idx="19">
                  <c:v>0.005</c:v>
                </c:pt>
                <c:pt idx="20">
                  <c:v>0.008</c:v>
                </c:pt>
                <c:pt idx="21">
                  <c:v>0.018</c:v>
                </c:pt>
                <c:pt idx="22">
                  <c:v>0.017</c:v>
                </c:pt>
                <c:pt idx="23">
                  <c:v>0.02</c:v>
                </c:pt>
                <c:pt idx="24">
                  <c:v>0.024</c:v>
                </c:pt>
                <c:pt idx="25">
                  <c:v>0.018</c:v>
                </c:pt>
                <c:pt idx="26">
                  <c:v>0.022</c:v>
                </c:pt>
                <c:pt idx="27">
                  <c:v>0.03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119538"/>
        <c:axId val="12487782"/>
      </c:lineChart>
      <c:catAx>
        <c:axId val="91294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796"/>
        <c:crosses val="autoZero"/>
        <c:auto val="1"/>
        <c:lblAlgn val="ctr"/>
        <c:lblOffset val="100"/>
        <c:noMultiLvlLbl val="0"/>
      </c:catAx>
      <c:valAx>
        <c:axId val="45027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MoM % (SA)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29481"/>
        <c:crosses val="min"/>
        <c:crossBetween val="between"/>
      </c:valAx>
      <c:catAx>
        <c:axId val="2511953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487782"/>
        <c:crosses val="autoZero"/>
        <c:auto val="1"/>
        <c:lblAlgn val="ctr"/>
        <c:lblOffset val="100"/>
        <c:noMultiLvlLbl val="0"/>
      </c:catAx>
      <c:valAx>
        <c:axId val="1248778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% (non-SA)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119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13</xdr:col>
      <xdr:colOff>205920</xdr:colOff>
      <xdr:row>65</xdr:row>
      <xdr:rowOff>86760</xdr:rowOff>
    </xdr:to>
    <xdr:graphicFrame>
      <xdr:nvGraphicFramePr>
        <xdr:cNvPr id="0" name="Chart 1"/>
        <xdr:cNvGraphicFramePr/>
      </xdr:nvGraphicFramePr>
      <xdr:xfrm>
        <a:off x="0" y="774396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 t="s">
        <v>2</v>
      </c>
      <c r="B3" s="3"/>
      <c r="C3" s="3"/>
      <c r="D3" s="3"/>
    </row>
    <row r="5" customFormat="false" ht="24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7" t="n">
        <v>0.005</v>
      </c>
      <c r="D6" s="7" t="n">
        <v>0.02</v>
      </c>
    </row>
    <row r="7" customFormat="false" ht="15" hidden="false" customHeight="false" outlineLevel="0" collapsed="false">
      <c r="A7" s="8" t="s">
        <v>9</v>
      </c>
      <c r="B7" s="9" t="s">
        <v>10</v>
      </c>
      <c r="C7" s="10" t="n">
        <v>0.002</v>
      </c>
      <c r="D7" s="10" t="n">
        <v>0.018</v>
      </c>
    </row>
    <row r="8" customFormat="false" ht="15" hidden="false" customHeight="false" outlineLevel="0" collapsed="false">
      <c r="A8" s="5" t="s">
        <v>11</v>
      </c>
      <c r="B8" s="6" t="s">
        <v>12</v>
      </c>
      <c r="C8" s="7" t="n">
        <v>0.005</v>
      </c>
      <c r="D8" s="7" t="n">
        <v>0.022</v>
      </c>
    </row>
    <row r="9" customFormat="false" ht="15" hidden="false" customHeight="false" outlineLevel="0" collapsed="false">
      <c r="A9" s="8" t="s">
        <v>13</v>
      </c>
      <c r="B9" s="9" t="s">
        <v>14</v>
      </c>
      <c r="C9" s="10" t="n">
        <v>0.005</v>
      </c>
      <c r="D9" s="10" t="n">
        <v>0.02</v>
      </c>
    </row>
    <row r="10" customFormat="false" ht="15" hidden="false" customHeight="false" outlineLevel="0" collapsed="false">
      <c r="A10" s="5" t="s">
        <v>15</v>
      </c>
      <c r="B10" s="6" t="s">
        <v>16</v>
      </c>
      <c r="C10" s="7" t="n">
        <v>0.003</v>
      </c>
      <c r="D10" s="7" t="n">
        <v>0.025</v>
      </c>
    </row>
    <row r="11" customFormat="false" ht="15" hidden="false" customHeight="false" outlineLevel="0" collapsed="false">
      <c r="A11" s="8" t="s">
        <v>17</v>
      </c>
      <c r="B11" s="9" t="s">
        <v>18</v>
      </c>
      <c r="C11" s="10" t="n">
        <v>0.02</v>
      </c>
      <c r="D11" s="10" t="n">
        <v>0.015</v>
      </c>
    </row>
    <row r="12" customFormat="false" ht="15" hidden="false" customHeight="false" outlineLevel="0" collapsed="false">
      <c r="A12" s="5" t="s">
        <v>19</v>
      </c>
      <c r="B12" s="6" t="s">
        <v>20</v>
      </c>
      <c r="C12" s="7" t="n">
        <v>-0.005</v>
      </c>
      <c r="D12" s="7" t="n">
        <v>0.008</v>
      </c>
    </row>
    <row r="13" customFormat="false" ht="15" hidden="false" customHeight="false" outlineLevel="0" collapsed="false">
      <c r="A13" s="8" t="s">
        <v>21</v>
      </c>
      <c r="B13" s="9" t="s">
        <v>22</v>
      </c>
      <c r="C13" s="10" t="n">
        <v>0</v>
      </c>
      <c r="D13" s="10" t="n">
        <v>0.003</v>
      </c>
    </row>
    <row r="14" customFormat="false" ht="15" hidden="false" customHeight="false" outlineLevel="0" collapsed="false">
      <c r="A14" s="5" t="s">
        <v>23</v>
      </c>
      <c r="B14" s="6" t="s">
        <v>24</v>
      </c>
      <c r="C14" s="7" t="n">
        <v>-0.005</v>
      </c>
      <c r="D14" s="7" t="n">
        <v>-0.003</v>
      </c>
    </row>
    <row r="15" customFormat="false" ht="15" hidden="false" customHeight="false" outlineLevel="0" collapsed="false">
      <c r="A15" s="8" t="s">
        <v>25</v>
      </c>
      <c r="B15" s="9" t="s">
        <v>26</v>
      </c>
      <c r="C15" s="10" t="n">
        <v>0.003</v>
      </c>
      <c r="D15" s="10" t="n">
        <v>0</v>
      </c>
    </row>
    <row r="16" customFormat="false" ht="15" hidden="false" customHeight="false" outlineLevel="0" collapsed="false">
      <c r="A16" s="5" t="s">
        <v>27</v>
      </c>
      <c r="B16" s="6" t="s">
        <v>28</v>
      </c>
      <c r="C16" s="7" t="n">
        <v>-0.002</v>
      </c>
      <c r="D16" s="7" t="n">
        <v>-0.005</v>
      </c>
    </row>
    <row r="17" customFormat="false" ht="15" hidden="false" customHeight="false" outlineLevel="0" collapsed="false">
      <c r="A17" s="8" t="s">
        <v>29</v>
      </c>
      <c r="B17" s="9" t="s">
        <v>30</v>
      </c>
      <c r="C17" s="10" t="n">
        <v>-0.005</v>
      </c>
      <c r="D17" s="10" t="n">
        <v>-0.01</v>
      </c>
    </row>
    <row r="18" customFormat="false" ht="15" hidden="false" customHeight="false" outlineLevel="0" collapsed="false">
      <c r="A18" s="5" t="s">
        <v>31</v>
      </c>
      <c r="B18" s="6" t="s">
        <v>32</v>
      </c>
      <c r="C18" s="7" t="n">
        <v>0</v>
      </c>
      <c r="D18" s="7" t="n">
        <v>-0.003</v>
      </c>
    </row>
    <row r="19" customFormat="false" ht="15" hidden="false" customHeight="false" outlineLevel="0" collapsed="false">
      <c r="A19" s="8" t="s">
        <v>33</v>
      </c>
      <c r="B19" s="9" t="s">
        <v>34</v>
      </c>
      <c r="C19" s="10" t="n">
        <v>-0.002</v>
      </c>
      <c r="D19" s="10" t="n">
        <v>0.006</v>
      </c>
    </row>
    <row r="20" customFormat="false" ht="15" hidden="false" customHeight="false" outlineLevel="0" collapsed="false">
      <c r="A20" s="5" t="s">
        <v>35</v>
      </c>
      <c r="B20" s="6" t="s">
        <v>36</v>
      </c>
      <c r="C20" s="7" t="n">
        <v>0.007</v>
      </c>
      <c r="D20" s="7" t="n">
        <v>0.022</v>
      </c>
    </row>
    <row r="21" customFormat="false" ht="15" hidden="false" customHeight="false" outlineLevel="0" collapsed="false">
      <c r="A21" s="8" t="s">
        <v>37</v>
      </c>
      <c r="B21" s="9" t="s">
        <v>38</v>
      </c>
      <c r="C21" s="10" t="n">
        <v>-0.015</v>
      </c>
      <c r="D21" s="10" t="n">
        <v>-0.025</v>
      </c>
    </row>
    <row r="22" customFormat="false" ht="15" hidden="false" customHeight="false" outlineLevel="0" collapsed="false">
      <c r="A22" s="5" t="s">
        <v>39</v>
      </c>
      <c r="B22" s="6" t="s">
        <v>40</v>
      </c>
      <c r="C22" s="7" t="n">
        <v>0.005</v>
      </c>
      <c r="D22" s="7" t="n">
        <v>-0.01</v>
      </c>
    </row>
    <row r="23" customFormat="false" ht="15" hidden="false" customHeight="false" outlineLevel="0" collapsed="false">
      <c r="A23" s="8" t="s">
        <v>41</v>
      </c>
      <c r="B23" s="9" t="s">
        <v>42</v>
      </c>
      <c r="C23" s="10" t="n">
        <v>0.002</v>
      </c>
      <c r="D23" s="10" t="n">
        <v>0.011</v>
      </c>
    </row>
    <row r="24" customFormat="false" ht="15" hidden="false" customHeight="false" outlineLevel="0" collapsed="false">
      <c r="A24" s="5" t="s">
        <v>43</v>
      </c>
      <c r="B24" s="6" t="s">
        <v>44</v>
      </c>
      <c r="C24" s="7" t="n">
        <v>0</v>
      </c>
      <c r="D24" s="7" t="n">
        <v>0.01</v>
      </c>
    </row>
    <row r="25" customFormat="false" ht="15" hidden="false" customHeight="false" outlineLevel="0" collapsed="false">
      <c r="A25" s="8" t="s">
        <v>45</v>
      </c>
      <c r="B25" s="9" t="s">
        <v>46</v>
      </c>
      <c r="C25" s="10" t="n">
        <v>0</v>
      </c>
      <c r="D25" s="10" t="n">
        <v>0.005</v>
      </c>
    </row>
    <row r="26" customFormat="false" ht="15" hidden="false" customHeight="false" outlineLevel="0" collapsed="false">
      <c r="A26" s="5" t="s">
        <v>47</v>
      </c>
      <c r="B26" s="6" t="s">
        <v>48</v>
      </c>
      <c r="C26" s="7" t="n">
        <v>0.003</v>
      </c>
      <c r="D26" s="7" t="n">
        <v>0.008</v>
      </c>
    </row>
    <row r="27" customFormat="false" ht="15" hidden="false" customHeight="false" outlineLevel="0" collapsed="false">
      <c r="A27" s="8" t="s">
        <v>49</v>
      </c>
      <c r="B27" s="9" t="s">
        <v>50</v>
      </c>
      <c r="C27" s="10" t="n">
        <v>0.004</v>
      </c>
      <c r="D27" s="10" t="n">
        <v>0.018</v>
      </c>
    </row>
    <row r="28" customFormat="false" ht="15" hidden="false" customHeight="false" outlineLevel="0" collapsed="false">
      <c r="A28" s="5" t="s">
        <v>51</v>
      </c>
      <c r="B28" s="6" t="s">
        <v>52</v>
      </c>
      <c r="C28" s="7" t="n">
        <v>0.004</v>
      </c>
      <c r="D28" s="7" t="n">
        <v>0.017</v>
      </c>
    </row>
    <row r="29" customFormat="false" ht="15" hidden="false" customHeight="false" outlineLevel="0" collapsed="false">
      <c r="A29" s="8" t="s">
        <v>53</v>
      </c>
      <c r="B29" s="9" t="s">
        <v>54</v>
      </c>
      <c r="C29" s="10" t="n">
        <v>0.003</v>
      </c>
      <c r="D29" s="10" t="n">
        <v>0.02</v>
      </c>
    </row>
    <row r="30" customFormat="false" ht="15" hidden="false" customHeight="false" outlineLevel="0" collapsed="false">
      <c r="A30" s="5" t="s">
        <v>55</v>
      </c>
      <c r="B30" s="6" t="s">
        <v>56</v>
      </c>
      <c r="C30" s="7" t="n">
        <v>0.003</v>
      </c>
      <c r="D30" s="7" t="n">
        <v>0.024</v>
      </c>
    </row>
    <row r="31" customFormat="false" ht="15" hidden="false" customHeight="false" outlineLevel="0" collapsed="false">
      <c r="A31" s="8" t="s">
        <v>57</v>
      </c>
      <c r="B31" s="9" t="s">
        <v>58</v>
      </c>
      <c r="C31" s="10" t="n">
        <v>0</v>
      </c>
      <c r="D31" s="10" t="n">
        <v>0.018</v>
      </c>
    </row>
    <row r="32" customFormat="false" ht="15" hidden="false" customHeight="false" outlineLevel="0" collapsed="false">
      <c r="A32" s="5" t="s">
        <v>59</v>
      </c>
      <c r="B32" s="6" t="s">
        <v>60</v>
      </c>
      <c r="C32" s="7" t="n">
        <v>0.003</v>
      </c>
      <c r="D32" s="7" t="n">
        <v>0.022</v>
      </c>
    </row>
    <row r="33" customFormat="false" ht="15" hidden="false" customHeight="false" outlineLevel="0" collapsed="false">
      <c r="A33" s="8" t="s">
        <v>61</v>
      </c>
      <c r="B33" s="9" t="s">
        <v>62</v>
      </c>
      <c r="C33" s="10" t="n">
        <v>0.005</v>
      </c>
      <c r="D33" s="10" t="n">
        <v>0.03</v>
      </c>
    </row>
    <row r="35" customFormat="false" ht="15" hidden="false" customHeight="false" outlineLevel="0" collapsed="false">
      <c r="A35" s="11" t="s">
        <v>63</v>
      </c>
      <c r="B35" s="11"/>
    </row>
    <row r="36" customFormat="false" ht="15" hidden="false" customHeight="false" outlineLevel="0" collapsed="false">
      <c r="A36" s="12" t="s">
        <v>64</v>
      </c>
      <c r="B36" s="13"/>
      <c r="C36" s="14" t="n">
        <f aca="false">AVERAGE(C6:C33)</f>
        <v>0.00171428571428571</v>
      </c>
      <c r="D36" s="14" t="n">
        <f aca="false">AVERAGE(D6:D33)</f>
        <v>0.0102142857142857</v>
      </c>
    </row>
    <row r="37" customFormat="false" ht="15" hidden="false" customHeight="false" outlineLevel="0" collapsed="false">
      <c r="A37" s="12" t="s">
        <v>65</v>
      </c>
      <c r="B37" s="13"/>
      <c r="C37" s="14" t="n">
        <f aca="false">MAX(C6:C33)</f>
        <v>0.02</v>
      </c>
      <c r="D37" s="14" t="n">
        <f aca="false">MAX(D6:D33)</f>
        <v>0.03</v>
      </c>
    </row>
    <row r="38" customFormat="false" ht="15" hidden="false" customHeight="false" outlineLevel="0" collapsed="false">
      <c r="A38" s="12" t="s">
        <v>66</v>
      </c>
      <c r="B38" s="13"/>
      <c r="C38" s="14" t="n">
        <f aca="false">MIN(C6:C33)</f>
        <v>-0.015</v>
      </c>
      <c r="D38" s="14" t="n">
        <f aca="false">MIN(D6:D33)</f>
        <v>-0.025</v>
      </c>
    </row>
    <row r="58" customFormat="false" ht="15" hidden="false" customHeight="false" outlineLevel="0" collapsed="false">
      <c r="A58" s="15" t="s">
        <v>67</v>
      </c>
    </row>
    <row r="59" customFormat="false" ht="15" hidden="false" customHeight="false" outlineLevel="0" collapsed="false">
      <c r="A59" s="3" t="s">
        <v>68</v>
      </c>
      <c r="B59" s="3"/>
      <c r="C59" s="3"/>
      <c r="D59" s="3"/>
    </row>
    <row r="60" customFormat="false" ht="15" hidden="false" customHeight="false" outlineLevel="0" collapsed="false">
      <c r="A60" s="3" t="s">
        <v>69</v>
      </c>
      <c r="B60" s="3"/>
      <c r="C60" s="3"/>
      <c r="D60" s="3"/>
    </row>
  </sheetData>
  <mergeCells count="6">
    <mergeCell ref="A1:D1"/>
    <mergeCell ref="A2:D2"/>
    <mergeCell ref="A3:D3"/>
    <mergeCell ref="A35:B35"/>
    <mergeCell ref="A59:D59"/>
    <mergeCell ref="A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2026-04-03T12:22:50Z</dcterms:created>
  <dc:creator>openpyxl</dc:creator>
  <dc:description/>
  <dc:language>en-US</dc:language>
  <cp:lastModifiedBy/>
  <dcterms:modified xsi:type="dcterms:W3CDTF">2026-04-03T12:23:00Z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